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autoCompressPictures="0"/>
  <bookViews>
    <workbookView xWindow="1335" yWindow="-20325" windowWidth="13035" windowHeight="12585" tabRatio="500"/>
  </bookViews>
  <sheets>
    <sheet name="Sheet1" sheetId="1" r:id="rId1"/>
  </sheets>
  <functionGroups builtInGroupCount="17"/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6" i="1" l="1" a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E6" i="1" a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</calcChain>
</file>

<file path=xl/comments1.xml><?xml version="1.0" encoding="utf-8"?>
<comments xmlns="http://schemas.openxmlformats.org/spreadsheetml/2006/main">
  <authors>
    <author>REYNOLDS ERIC</author>
  </authors>
  <commentList>
    <comment ref="B5" authorId="0">
      <text>
        <r>
          <rPr>
            <b/>
            <sz val="8"/>
            <color indexed="81"/>
            <rFont val="Tahoma"/>
            <family val="2"/>
          </rPr>
          <t>-1 for put
1 for call</t>
        </r>
      </text>
    </comment>
  </commentList>
</comments>
</file>

<file path=xl/sharedStrings.xml><?xml version="1.0" encoding="utf-8"?>
<sst xmlns="http://schemas.openxmlformats.org/spreadsheetml/2006/main" count="12" uniqueCount="12">
  <si>
    <t>Expiry</t>
  </si>
  <si>
    <t>Strike</t>
  </si>
  <si>
    <t>Today</t>
  </si>
  <si>
    <t>Premium</t>
  </si>
  <si>
    <t>Parity</t>
  </si>
  <si>
    <t>ImpVolQL</t>
  </si>
  <si>
    <t>Price</t>
  </si>
  <si>
    <t>riskfree</t>
  </si>
  <si>
    <t>dividend yield</t>
  </si>
  <si>
    <t>AAPL</t>
  </si>
  <si>
    <t>ImpVolSP</t>
  </si>
  <si>
    <t>ImpVolYahoo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</si>
</sst>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8"/>
      <color indexed="81"/>
      <name val="Tahoma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">
    <xf numFmtId="0" fontId="0" fillId="0" borderId="0" xfId="0"/>
    <xf numFmtId="10" fontId="0" fillId="0" borderId="0" xfId="1" applyNumberFormat="1" applyFont="1"/>
    <xf numFmtId="10" fontId="0" fillId="0" borderId="0" xfId="0" applyNumberFormat="1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0" xfId="0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0" fontId="0" fillId="2" borderId="0" xfId="1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CH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Sheet1!$D$5</c:f>
              <c:strCache>
                <c:ptCount val="1"/>
                <c:pt idx="0">
                  <c:v>ImpVolSP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Sheet1!$A$6:$A$22</c:f>
              <c:numCache>
                <c:formatCode>General</c:formatCode>
                <c:ptCount val="17"/>
                <c:pt idx="0">
                  <c:v>60</c:v>
                </c:pt>
                <c:pt idx="1">
                  <c:v>80</c:v>
                </c:pt>
                <c:pt idx="2">
                  <c:v>85</c:v>
                </c:pt>
                <c:pt idx="3">
                  <c:v>87.5</c:v>
                </c:pt>
                <c:pt idx="4">
                  <c:v>90</c:v>
                </c:pt>
                <c:pt idx="5">
                  <c:v>92.5</c:v>
                </c:pt>
                <c:pt idx="6">
                  <c:v>95</c:v>
                </c:pt>
                <c:pt idx="7">
                  <c:v>97.5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Sheet1!$D$6:$D$22</c:f>
              <c:numCache>
                <c:formatCode>0.00%</c:formatCode>
                <c:ptCount val="17"/>
                <c:pt idx="0">
                  <c:v>0.48378734457061401</c:v>
                </c:pt>
                <c:pt idx="1">
                  <c:v>0.29886381259833794</c:v>
                </c:pt>
                <c:pt idx="2">
                  <c:v>0.27113075430158484</c:v>
                </c:pt>
                <c:pt idx="3">
                  <c:v>0.26119919775516354</c:v>
                </c:pt>
                <c:pt idx="4">
                  <c:v>0.25545158370545978</c:v>
                </c:pt>
                <c:pt idx="5">
                  <c:v>0.2482313175172621</c:v>
                </c:pt>
                <c:pt idx="6">
                  <c:v>0.2415204362595906</c:v>
                </c:pt>
                <c:pt idx="7">
                  <c:v>0.23898067029090919</c:v>
                </c:pt>
                <c:pt idx="8">
                  <c:v>0.23474400623947791</c:v>
                </c:pt>
                <c:pt idx="9">
                  <c:v>0.22760882819039635</c:v>
                </c:pt>
                <c:pt idx="10">
                  <c:v>0.22718199883709525</c:v>
                </c:pt>
                <c:pt idx="11">
                  <c:v>0.22809343273271707</c:v>
                </c:pt>
                <c:pt idx="12">
                  <c:v>0.23225713193654632</c:v>
                </c:pt>
                <c:pt idx="13">
                  <c:v>0.23913816175559896</c:v>
                </c:pt>
                <c:pt idx="14">
                  <c:v>0.24890147443996888</c:v>
                </c:pt>
                <c:pt idx="15">
                  <c:v>0.26324009620851363</c:v>
                </c:pt>
                <c:pt idx="16">
                  <c:v>0.27806001777232847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Sheet1!$E$5</c:f>
              <c:strCache>
                <c:ptCount val="1"/>
                <c:pt idx="0">
                  <c:v>ImpVolQL</c:v>
                </c:pt>
              </c:strCache>
            </c:strRef>
          </c:tx>
          <c:marker>
            <c:symbol val="none"/>
          </c:marker>
          <c:xVal>
            <c:numRef>
              <c:f>Sheet1!$A$6:$A$22</c:f>
              <c:numCache>
                <c:formatCode>General</c:formatCode>
                <c:ptCount val="17"/>
                <c:pt idx="0">
                  <c:v>60</c:v>
                </c:pt>
                <c:pt idx="1">
                  <c:v>80</c:v>
                </c:pt>
                <c:pt idx="2">
                  <c:v>85</c:v>
                </c:pt>
                <c:pt idx="3">
                  <c:v>87.5</c:v>
                </c:pt>
                <c:pt idx="4">
                  <c:v>90</c:v>
                </c:pt>
                <c:pt idx="5">
                  <c:v>92.5</c:v>
                </c:pt>
                <c:pt idx="6">
                  <c:v>95</c:v>
                </c:pt>
                <c:pt idx="7">
                  <c:v>97.5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Sheet1!$E$6:$E$22</c:f>
              <c:numCache>
                <c:formatCode>0.00%</c:formatCode>
                <c:ptCount val="17"/>
                <c:pt idx="0">
                  <c:v>0.483779703972886</c:v>
                </c:pt>
                <c:pt idx="1">
                  <c:v>0.29885667878560784</c:v>
                </c:pt>
                <c:pt idx="2">
                  <c:v>0.27113026331432538</c:v>
                </c:pt>
                <c:pt idx="3">
                  <c:v>0.2612216388781215</c:v>
                </c:pt>
                <c:pt idx="4">
                  <c:v>0.25545178843888655</c:v>
                </c:pt>
                <c:pt idx="5">
                  <c:v>0.2482309991129342</c:v>
                </c:pt>
                <c:pt idx="6">
                  <c:v>0.24152035132759875</c:v>
                </c:pt>
                <c:pt idx="7">
                  <c:v>0.23898055499319681</c:v>
                </c:pt>
                <c:pt idx="8">
                  <c:v>0.23474400546791852</c:v>
                </c:pt>
                <c:pt idx="9">
                  <c:v>0.22758719789650786</c:v>
                </c:pt>
                <c:pt idx="10">
                  <c:v>0.22718202777796276</c:v>
                </c:pt>
                <c:pt idx="11">
                  <c:v>0.22809308309940537</c:v>
                </c:pt>
                <c:pt idx="12">
                  <c:v>0.23225802935980153</c:v>
                </c:pt>
                <c:pt idx="13">
                  <c:v>0.23911979065330455</c:v>
                </c:pt>
                <c:pt idx="14">
                  <c:v>0.24890280095369144</c:v>
                </c:pt>
                <c:pt idx="15">
                  <c:v>0.26324705330619508</c:v>
                </c:pt>
                <c:pt idx="16">
                  <c:v>0.27807097469569503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Sheet1!$F$5</c:f>
              <c:strCache>
                <c:ptCount val="1"/>
                <c:pt idx="0">
                  <c:v>ImpVolYahoo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Sheet1!$A$6:$A$22</c:f>
              <c:numCache>
                <c:formatCode>General</c:formatCode>
                <c:ptCount val="17"/>
                <c:pt idx="0">
                  <c:v>60</c:v>
                </c:pt>
                <c:pt idx="1">
                  <c:v>80</c:v>
                </c:pt>
                <c:pt idx="2">
                  <c:v>85</c:v>
                </c:pt>
                <c:pt idx="3">
                  <c:v>87.5</c:v>
                </c:pt>
                <c:pt idx="4">
                  <c:v>90</c:v>
                </c:pt>
                <c:pt idx="5">
                  <c:v>92.5</c:v>
                </c:pt>
                <c:pt idx="6">
                  <c:v>95</c:v>
                </c:pt>
                <c:pt idx="7">
                  <c:v>97.5</c:v>
                </c:pt>
                <c:pt idx="8">
                  <c:v>100</c:v>
                </c:pt>
                <c:pt idx="9">
                  <c:v>105</c:v>
                </c:pt>
                <c:pt idx="10">
                  <c:v>110</c:v>
                </c:pt>
                <c:pt idx="11">
                  <c:v>115</c:v>
                </c:pt>
                <c:pt idx="12">
                  <c:v>120</c:v>
                </c:pt>
                <c:pt idx="13">
                  <c:v>125</c:v>
                </c:pt>
                <c:pt idx="14">
                  <c:v>130</c:v>
                </c:pt>
                <c:pt idx="15">
                  <c:v>135</c:v>
                </c:pt>
                <c:pt idx="16">
                  <c:v>140</c:v>
                </c:pt>
              </c:numCache>
            </c:numRef>
          </c:xVal>
          <c:yVal>
            <c:numRef>
              <c:f>Sheet1!$F$6:$F$22</c:f>
              <c:numCache>
                <c:formatCode>0.00%</c:formatCode>
                <c:ptCount val="17"/>
                <c:pt idx="0">
                  <c:v>0.50490000000000002</c:v>
                </c:pt>
                <c:pt idx="1">
                  <c:v>0.30590000000000001</c:v>
                </c:pt>
                <c:pt idx="2">
                  <c:v>0.27589999999999998</c:v>
                </c:pt>
                <c:pt idx="3">
                  <c:v>0.26490000000000002</c:v>
                </c:pt>
                <c:pt idx="4">
                  <c:v>0.25840000000000002</c:v>
                </c:pt>
                <c:pt idx="5">
                  <c:v>0.25059999999999999</c:v>
                </c:pt>
                <c:pt idx="6">
                  <c:v>0.24349999999999999</c:v>
                </c:pt>
                <c:pt idx="7">
                  <c:v>0.24060000000000001</c:v>
                </c:pt>
                <c:pt idx="8">
                  <c:v>0.23619999999999999</c:v>
                </c:pt>
                <c:pt idx="9">
                  <c:v>0.2286</c:v>
                </c:pt>
                <c:pt idx="10">
                  <c:v>0.22800000000000001</c:v>
                </c:pt>
                <c:pt idx="11">
                  <c:v>0.2288</c:v>
                </c:pt>
                <c:pt idx="12">
                  <c:v>0.2329</c:v>
                </c:pt>
                <c:pt idx="13">
                  <c:v>0.23980000000000001</c:v>
                </c:pt>
                <c:pt idx="14">
                  <c:v>0.2495</c:v>
                </c:pt>
                <c:pt idx="15">
                  <c:v>0.26369999999999999</c:v>
                </c:pt>
                <c:pt idx="16">
                  <c:v>0.27829999999999999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176"/>
        <c:axId val="202595712"/>
      </c:scatterChart>
      <c:valAx>
        <c:axId val="202594176"/>
        <c:scaling>
          <c:orientation val="minMax"/>
          <c:min val="80"/>
        </c:scaling>
        <c:delete val="0"/>
        <c:axPos val="b"/>
        <c:numFmt formatCode="General" sourceLinked="1"/>
        <c:majorTickMark val="out"/>
        <c:minorTickMark val="none"/>
        <c:tickLblPos val="nextTo"/>
        <c:crossAx val="202595712"/>
        <c:crosses val="autoZero"/>
        <c:crossBetween val="midCat"/>
      </c:valAx>
      <c:valAx>
        <c:axId val="202595712"/>
        <c:scaling>
          <c:orientation val="minMax"/>
          <c:max val="0.35000000000000003"/>
          <c:min val="0.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025941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142081</xdr:colOff>
      <xdr:row>3</xdr:row>
      <xdr:rowOff>191028</xdr:rowOff>
    </xdr:from>
    <xdr:to>
      <xdr:col>11</xdr:col>
      <xdr:colOff>381000</xdr:colOff>
      <xdr:row>22</xdr:row>
      <xdr:rowOff>26457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55"/>
  <sheetViews>
    <sheetView tabSelected="1" zoomScale="90" zoomScaleNormal="90" workbookViewId="0">
      <selection activeCell="F3" sqref="F3"/>
    </sheetView>
  </sheetViews>
  <sheetFormatPr defaultColWidth="11" defaultRowHeight="15.75" x14ac:dyDescent="0.5"/>
  <cols>
    <col min="4" max="4" width="14.25" customWidth="1"/>
    <col min="5" max="5" width="12.75" bestFit="1" customWidth="1"/>
    <col min="6" max="6" width="12.8125" bestFit="1" customWidth="1"/>
  </cols>
  <sheetData>
    <row r="1" spans="1:6" x14ac:dyDescent="0.5">
      <c r="A1" s="3" t="s">
        <v>9</v>
      </c>
    </row>
    <row r="2" spans="1:6" x14ac:dyDescent="0.5">
      <c r="A2" s="5" t="s">
        <v>2</v>
      </c>
      <c r="B2" s="5" t="s">
        <v>0</v>
      </c>
      <c r="C2" s="5" t="s">
        <v>6</v>
      </c>
      <c r="D2" s="5" t="s">
        <v>7</v>
      </c>
      <c r="E2" s="5" t="s">
        <v>8</v>
      </c>
    </row>
    <row r="3" spans="1:6" x14ac:dyDescent="0.5">
      <c r="A3" s="6">
        <v>42520</v>
      </c>
      <c r="B3" s="6">
        <v>42629</v>
      </c>
      <c r="C3" s="7">
        <v>100.35</v>
      </c>
      <c r="D3" s="8">
        <v>0</v>
      </c>
      <c r="E3" s="9">
        <v>0</v>
      </c>
    </row>
    <row r="5" spans="1:6" x14ac:dyDescent="0.5">
      <c r="A5" s="4" t="s">
        <v>1</v>
      </c>
      <c r="B5" s="4" t="s">
        <v>4</v>
      </c>
      <c r="C5" s="4" t="s">
        <v>3</v>
      </c>
      <c r="D5" s="4" t="s">
        <v>10</v>
      </c>
      <c r="E5" s="4" t="s">
        <v>5</v>
      </c>
      <c r="F5" s="4" t="s">
        <v>11</v>
      </c>
    </row>
    <row r="6" spans="1:6" x14ac:dyDescent="0.5">
      <c r="A6">
        <v>60</v>
      </c>
      <c r="B6">
        <v>1</v>
      </c>
      <c r="C6">
        <v>40.549999999999997</v>
      </c>
      <c r="D6" s="1">
        <f t="array" ref="D6:D22">imp_vol($A$3,$B$3,$C$3,$D$3,$E$3,B6:B22,A6:A22,C6:C22)</f>
        <v>0.48378734457061401</v>
      </c>
      <c r="E6" s="1">
        <f t="array" ref="E6:E22">imp_vol_ql($A$3,$A$3,$B$3,$C$3,$D$3,$E$3,B6:B22,A6:A22,C6:C22)</f>
        <v>0.483779703972886</v>
      </c>
      <c r="F6" s="2">
        <v>0.50490000000000002</v>
      </c>
    </row>
    <row r="7" spans="1:6" x14ac:dyDescent="0.5">
      <c r="A7">
        <v>80</v>
      </c>
      <c r="B7">
        <v>1</v>
      </c>
      <c r="C7">
        <v>20.9</v>
      </c>
      <c r="D7" s="1">
        <v>0.29886381259833794</v>
      </c>
      <c r="E7" s="1">
        <v>0.29885667878560784</v>
      </c>
      <c r="F7" s="2">
        <v>0.30590000000000001</v>
      </c>
    </row>
    <row r="8" spans="1:6" x14ac:dyDescent="0.5">
      <c r="A8">
        <v>85</v>
      </c>
      <c r="B8">
        <v>1</v>
      </c>
      <c r="C8">
        <v>16.25</v>
      </c>
      <c r="D8" s="1">
        <v>0.27113075430158484</v>
      </c>
      <c r="E8" s="1">
        <v>0.27113026331432538</v>
      </c>
      <c r="F8" s="2">
        <v>0.27589999999999998</v>
      </c>
    </row>
    <row r="9" spans="1:6" x14ac:dyDescent="0.5">
      <c r="A9">
        <v>87.5</v>
      </c>
      <c r="B9">
        <v>1</v>
      </c>
      <c r="C9">
        <v>14.05</v>
      </c>
      <c r="D9" s="1">
        <v>0.26119919775516354</v>
      </c>
      <c r="E9" s="1">
        <v>0.2612216388781215</v>
      </c>
      <c r="F9" s="2">
        <v>0.26490000000000002</v>
      </c>
    </row>
    <row r="10" spans="1:6" x14ac:dyDescent="0.5">
      <c r="A10">
        <v>90</v>
      </c>
      <c r="B10">
        <v>1</v>
      </c>
      <c r="C10">
        <v>12</v>
      </c>
      <c r="D10" s="1">
        <v>0.25545158370545978</v>
      </c>
      <c r="E10" s="1">
        <v>0.25545178843888655</v>
      </c>
      <c r="F10" s="2">
        <v>0.25840000000000002</v>
      </c>
    </row>
    <row r="11" spans="1:6" x14ac:dyDescent="0.5">
      <c r="A11">
        <v>92.5</v>
      </c>
      <c r="B11">
        <v>1</v>
      </c>
      <c r="C11">
        <v>10.050000000000001</v>
      </c>
      <c r="D11" s="1">
        <v>0.2482313175172621</v>
      </c>
      <c r="E11" s="1">
        <v>0.2482309991129342</v>
      </c>
      <c r="F11" s="2">
        <v>0.25059999999999999</v>
      </c>
    </row>
    <row r="12" spans="1:6" x14ac:dyDescent="0.5">
      <c r="A12">
        <v>95</v>
      </c>
      <c r="B12">
        <v>1</v>
      </c>
      <c r="C12">
        <v>8.25</v>
      </c>
      <c r="D12" s="1">
        <v>0.2415204362595906</v>
      </c>
      <c r="E12" s="1">
        <v>0.24152035132759875</v>
      </c>
      <c r="F12" s="2">
        <v>0.24349999999999999</v>
      </c>
    </row>
    <row r="13" spans="1:6" x14ac:dyDescent="0.5">
      <c r="A13">
        <v>97.5</v>
      </c>
      <c r="B13">
        <v>1</v>
      </c>
      <c r="C13">
        <v>6.7</v>
      </c>
      <c r="D13" s="1">
        <v>0.23898067029090919</v>
      </c>
      <c r="E13" s="1">
        <v>0.23898055499319681</v>
      </c>
      <c r="F13" s="2">
        <v>0.24060000000000001</v>
      </c>
    </row>
    <row r="14" spans="1:6" x14ac:dyDescent="0.5">
      <c r="A14">
        <v>100</v>
      </c>
      <c r="B14">
        <v>1</v>
      </c>
      <c r="C14">
        <v>5.3</v>
      </c>
      <c r="D14" s="1">
        <v>0.23474400623947791</v>
      </c>
      <c r="E14" s="1">
        <v>0.23474400546791852</v>
      </c>
      <c r="F14" s="2">
        <v>0.23619999999999999</v>
      </c>
    </row>
    <row r="15" spans="1:6" x14ac:dyDescent="0.5">
      <c r="A15">
        <v>105</v>
      </c>
      <c r="B15">
        <v>1</v>
      </c>
      <c r="C15">
        <v>3.1</v>
      </c>
      <c r="D15" s="1">
        <v>0.22760882819039635</v>
      </c>
      <c r="E15" s="1">
        <v>0.22758719789650786</v>
      </c>
      <c r="F15" s="2">
        <v>0.2286</v>
      </c>
    </row>
    <row r="16" spans="1:6" x14ac:dyDescent="0.5">
      <c r="A16">
        <v>110</v>
      </c>
      <c r="B16">
        <v>1</v>
      </c>
      <c r="C16">
        <v>1.74</v>
      </c>
      <c r="D16" s="1">
        <v>0.22718199883709525</v>
      </c>
      <c r="E16" s="1">
        <v>0.22718202777796276</v>
      </c>
      <c r="F16" s="2">
        <v>0.22800000000000001</v>
      </c>
    </row>
    <row r="17" spans="1:6" x14ac:dyDescent="0.5">
      <c r="A17">
        <v>115</v>
      </c>
      <c r="B17">
        <v>1</v>
      </c>
      <c r="C17">
        <v>0.93</v>
      </c>
      <c r="D17" s="1">
        <v>0.22809343273271707</v>
      </c>
      <c r="E17" s="1">
        <v>0.22809308309940537</v>
      </c>
      <c r="F17" s="2">
        <v>0.2288</v>
      </c>
    </row>
    <row r="18" spans="1:6" x14ac:dyDescent="0.5">
      <c r="A18">
        <v>120</v>
      </c>
      <c r="B18">
        <v>1</v>
      </c>
      <c r="C18">
        <v>0.5</v>
      </c>
      <c r="D18" s="1">
        <v>0.23225713193654632</v>
      </c>
      <c r="E18" s="1">
        <v>0.23225802935980153</v>
      </c>
      <c r="F18" s="2">
        <v>0.2329</v>
      </c>
    </row>
    <row r="19" spans="1:6" x14ac:dyDescent="0.5">
      <c r="A19">
        <v>125</v>
      </c>
      <c r="B19">
        <v>1</v>
      </c>
      <c r="C19">
        <v>0.28000000000000003</v>
      </c>
      <c r="D19" s="1">
        <v>0.23913816175559896</v>
      </c>
      <c r="E19" s="1">
        <v>0.23911979065330455</v>
      </c>
      <c r="F19" s="2">
        <v>0.23980000000000001</v>
      </c>
    </row>
    <row r="20" spans="1:6" x14ac:dyDescent="0.5">
      <c r="A20">
        <v>130</v>
      </c>
      <c r="B20">
        <v>1</v>
      </c>
      <c r="C20">
        <v>0.17</v>
      </c>
      <c r="D20" s="1">
        <v>0.24890147443996888</v>
      </c>
      <c r="E20" s="1">
        <v>0.24890280095369144</v>
      </c>
      <c r="F20" s="2">
        <v>0.2495</v>
      </c>
    </row>
    <row r="21" spans="1:6" x14ac:dyDescent="0.5">
      <c r="A21">
        <v>135</v>
      </c>
      <c r="B21">
        <v>1</v>
      </c>
      <c r="C21">
        <v>0.12</v>
      </c>
      <c r="D21" s="1">
        <v>0.26324009620851363</v>
      </c>
      <c r="E21" s="1">
        <v>0.26324705330619508</v>
      </c>
      <c r="F21" s="2">
        <v>0.26369999999999999</v>
      </c>
    </row>
    <row r="22" spans="1:6" x14ac:dyDescent="0.5">
      <c r="A22">
        <v>140</v>
      </c>
      <c r="B22">
        <v>1</v>
      </c>
      <c r="C22">
        <v>0.09</v>
      </c>
      <c r="D22" s="1">
        <v>0.27806001777232847</v>
      </c>
      <c r="E22" s="1">
        <v>0.27807097469569503</v>
      </c>
      <c r="F22" s="2">
        <v>0.27829999999999999</v>
      </c>
    </row>
    <row r="23" spans="1:6" x14ac:dyDescent="0.5">
      <c r="D23" s="1"/>
    </row>
    <row r="24" spans="1:6" x14ac:dyDescent="0.5">
      <c r="D24" s="1"/>
    </row>
    <row r="25" spans="1:6" x14ac:dyDescent="0.5">
      <c r="D25" s="1"/>
    </row>
    <row r="26" spans="1:6" x14ac:dyDescent="0.5">
      <c r="D26" s="1"/>
    </row>
    <row r="28" spans="1:6" x14ac:dyDescent="0.5">
      <c r="D28" s="1"/>
      <c r="E28" s="1"/>
      <c r="F28" s="2"/>
    </row>
    <row r="29" spans="1:6" x14ac:dyDescent="0.5">
      <c r="D29" s="1"/>
      <c r="E29" s="1"/>
      <c r="F29" s="2"/>
    </row>
    <row r="30" spans="1:6" x14ac:dyDescent="0.5">
      <c r="D30" s="1"/>
      <c r="E30" s="1"/>
      <c r="F30" s="2"/>
    </row>
    <row r="31" spans="1:6" x14ac:dyDescent="0.5">
      <c r="D31" s="1"/>
      <c r="E31" s="1"/>
      <c r="F31" s="2"/>
    </row>
    <row r="32" spans="1:6" x14ac:dyDescent="0.5">
      <c r="D32" s="1"/>
      <c r="E32" s="1"/>
      <c r="F32" s="2"/>
    </row>
    <row r="33" spans="4:6" x14ac:dyDescent="0.5">
      <c r="D33" s="1"/>
      <c r="E33" s="1"/>
      <c r="F33" s="2"/>
    </row>
    <row r="34" spans="4:6" x14ac:dyDescent="0.5">
      <c r="D34" s="1"/>
      <c r="E34" s="1"/>
      <c r="F34" s="2"/>
    </row>
    <row r="35" spans="4:6" x14ac:dyDescent="0.5">
      <c r="D35" s="1"/>
      <c r="E35" s="1"/>
      <c r="F35" s="2"/>
    </row>
    <row r="36" spans="4:6" x14ac:dyDescent="0.5">
      <c r="D36" s="1"/>
      <c r="E36" s="1"/>
      <c r="F36" s="2"/>
    </row>
    <row r="37" spans="4:6" x14ac:dyDescent="0.5">
      <c r="D37" s="1"/>
      <c r="E37" s="1"/>
      <c r="F37" s="2"/>
    </row>
    <row r="38" spans="4:6" x14ac:dyDescent="0.5">
      <c r="D38" s="1"/>
      <c r="E38" s="1"/>
      <c r="F38" s="2"/>
    </row>
    <row r="39" spans="4:6" x14ac:dyDescent="0.5">
      <c r="D39" s="1"/>
      <c r="E39" s="1"/>
      <c r="F39" s="2"/>
    </row>
    <row r="40" spans="4:6" x14ac:dyDescent="0.5">
      <c r="D40" s="1"/>
      <c r="E40" s="1"/>
      <c r="F40" s="2"/>
    </row>
    <row r="41" spans="4:6" x14ac:dyDescent="0.5">
      <c r="D41" s="1"/>
      <c r="E41" s="1"/>
      <c r="F41" s="2"/>
    </row>
    <row r="42" spans="4:6" x14ac:dyDescent="0.5">
      <c r="D42" s="1"/>
      <c r="E42" s="1"/>
      <c r="F42" s="2"/>
    </row>
    <row r="43" spans="4:6" x14ac:dyDescent="0.5">
      <c r="D43" s="1"/>
      <c r="E43" s="1"/>
      <c r="F43" s="2"/>
    </row>
    <row r="44" spans="4:6" x14ac:dyDescent="0.5">
      <c r="D44" s="1"/>
      <c r="E44" s="1"/>
      <c r="F44" s="2"/>
    </row>
    <row r="45" spans="4:6" x14ac:dyDescent="0.5">
      <c r="D45" s="1"/>
      <c r="E45" s="1"/>
      <c r="F45" s="2"/>
    </row>
    <row r="46" spans="4:6" x14ac:dyDescent="0.5">
      <c r="D46" s="1"/>
    </row>
    <row r="47" spans="4:6" x14ac:dyDescent="0.5">
      <c r="D47" s="1"/>
    </row>
    <row r="48" spans="4:6" x14ac:dyDescent="0.5">
      <c r="D48" s="1"/>
    </row>
    <row r="49" spans="4:4" x14ac:dyDescent="0.5">
      <c r="D49" s="1"/>
    </row>
    <row r="50" spans="4:4" x14ac:dyDescent="0.5">
      <c r="D50" s="1"/>
    </row>
    <row r="51" spans="4:4" x14ac:dyDescent="0.5">
      <c r="D51" s="1"/>
    </row>
    <row r="52" spans="4:4" x14ac:dyDescent="0.5">
      <c r="D52" s="1"/>
    </row>
    <row r="53" spans="4:4" x14ac:dyDescent="0.5">
      <c r="D53" s="1"/>
    </row>
    <row r="54" spans="4:4" x14ac:dyDescent="0.5">
      <c r="D54" s="1"/>
    </row>
    <row r="55" spans="4:4" x14ac:dyDescent="0.5">
      <c r="D55" s="1"/>
    </row>
  </sheetData>
  <pageMargins left="0.75" right="0.75" top="1" bottom="1" header="0.5" footer="0.5"/>
  <pageSetup orientation="portrait" horizontalDpi="300" verticalDpi="3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 Zumstein</cp:lastModifiedBy>
  <dcterms:created xsi:type="dcterms:W3CDTF">2015-01-25T11:31:25Z</dcterms:created>
  <dcterms:modified xsi:type="dcterms:W3CDTF">2016-06-09T09:17:41Z</dcterms:modified>
</cp:coreProperties>
</file>